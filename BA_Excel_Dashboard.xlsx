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usha\Downloads\"/>
    </mc:Choice>
  </mc:AlternateContent>
  <xr:revisionPtr revIDLastSave="0" documentId="8_{78667369-2B92-4848-9FDF-6B2EDE579F20}" xr6:coauthVersionLast="47" xr6:coauthVersionMax="47" xr10:uidLastSave="{00000000-0000-0000-0000-000000000000}"/>
  <bookViews>
    <workbookView xWindow="-110" yWindow="-110" windowWidth="19420" windowHeight="11500" xr2:uid="{19985FB7-F1D0-404C-AC28-19F8DB4A8AA4}"/>
  </bookViews>
  <sheets>
    <sheet name="Sheet1" sheetId="1" r:id="rId1"/>
  </sheet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4" i="1"/>
</calcChain>
</file>

<file path=xl/sharedStrings.xml><?xml version="1.0" encoding="utf-8"?>
<sst xmlns="http://schemas.openxmlformats.org/spreadsheetml/2006/main" count="62" uniqueCount="34">
  <si>
    <t>Region</t>
  </si>
  <si>
    <t>Month</t>
  </si>
  <si>
    <t>Revenue</t>
  </si>
  <si>
    <t>Target</t>
  </si>
  <si>
    <t>Variance</t>
  </si>
  <si>
    <t>North</t>
  </si>
  <si>
    <t>Jan</t>
  </si>
  <si>
    <t>South</t>
  </si>
  <si>
    <t>East</t>
  </si>
  <si>
    <t>West</t>
  </si>
  <si>
    <t>Feb</t>
  </si>
  <si>
    <t>Mar</t>
  </si>
  <si>
    <t>Step 2 — Enter this data on Sheet 1:</t>
  </si>
  <si>
    <t>Row Labels</t>
  </si>
  <si>
    <t>Grand Total</t>
  </si>
  <si>
    <t>Column Labels</t>
  </si>
  <si>
    <t>Monthly Revenue Trend by Region</t>
  </si>
  <si>
    <t>Add KPI Cards — Click on empty cell and type:</t>
  </si>
  <si>
    <t>Cell</t>
  </si>
  <si>
    <t>Content</t>
  </si>
  <si>
    <t>Type anywhere empty</t>
  </si>
  <si>
    <t>Total Q1 Revenue: $559,000</t>
  </si>
  <si>
    <t>Next row</t>
  </si>
  <si>
    <t>Best Region: East ($156,000)</t>
  </si>
  <si>
    <t>Best Month: March ($199,000)</t>
  </si>
  <si>
    <t>Avg Monthly Revenue: $46,583</t>
  </si>
  <si>
    <t>Business Performance Dashboard — Q1 2026</t>
  </si>
  <si>
    <t>Total Q1 Revenue</t>
  </si>
  <si>
    <t>Best Region</t>
  </si>
  <si>
    <t>Best Month</t>
  </si>
  <si>
    <t xml:space="preserve"> Average Revenue</t>
  </si>
  <si>
    <t>March</t>
  </si>
  <si>
    <t>Total Regions</t>
  </si>
  <si>
    <t xml:space="preserve">📊 BUSINESS KPIs — Q1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</si>
</sst>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[BA_Excel_Dashboard.xlsx]Sheet1!PivotTable1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Sheet1!$H$9:$H$10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Sheet1!$G$11:$G$15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Sheet1!$H$11:$H$15</c:f>
              <c:numCache>
                <c:formatCode>General</c:formatCode>
                <c:ptCount val="4"/>
                <c:pt idx="0">
                  <c:v>52000</c:v>
                </c:pt>
                <c:pt idx="1">
                  <c:v>45000</c:v>
                </c:pt>
                <c:pt idx="2">
                  <c:v>38000</c:v>
                </c:pt>
                <c:pt idx="3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C-4F30-8164-20CD01140B6D}"/>
            </c:ext>
          </c:extLst>
        </c:ser>
        <c:ser>
          <c:idx val="1"/>
          <c:order val="1"/>
          <c:tx>
            <c:strRef>
              <c:f>Sheet1!$I$9:$I$10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Sheet1!$G$11:$G$15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Sheet1!$I$11:$I$15</c:f>
              <c:numCache>
                <c:formatCode>General</c:formatCode>
                <c:ptCount val="4"/>
                <c:pt idx="0">
                  <c:v>49000</c:v>
                </c:pt>
                <c:pt idx="1">
                  <c:v>48000</c:v>
                </c:pt>
                <c:pt idx="2">
                  <c:v>44000</c:v>
                </c:pt>
                <c:pt idx="3">
                  <c:v>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2C-4F30-8164-20CD01140B6D}"/>
            </c:ext>
          </c:extLst>
        </c:ser>
        <c:ser>
          <c:idx val="2"/>
          <c:order val="2"/>
          <c:tx>
            <c:strRef>
              <c:f>Sheet1!$J$9:$J$10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Sheet1!$G$11:$G$15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Sheet1!$J$11:$J$15</c:f>
              <c:numCache>
                <c:formatCode>General</c:formatCode>
                <c:ptCount val="4"/>
                <c:pt idx="0">
                  <c:v>55000</c:v>
                </c:pt>
                <c:pt idx="1">
                  <c:v>51000</c:v>
                </c:pt>
                <c:pt idx="2">
                  <c:v>47000</c:v>
                </c:pt>
                <c:pt idx="3">
                  <c:v>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2C-4F30-8164-20CD01140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2829136"/>
        <c:axId val="1322829616"/>
      </c:barChart>
      <c:catAx>
        <c:axId val="132282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829616"/>
        <c:crosses val="autoZero"/>
        <c:auto val="1"/>
        <c:lblAlgn val="ctr"/>
        <c:lblOffset val="100"/>
        <c:noMultiLvlLbl val="0"/>
      </c:catAx>
      <c:valAx>
        <c:axId val="132282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82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[BA_Excel_Dashboard.xlsx]Sheet1!PivotTable1</c:name>
    <c:fmtId val="5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580927384076984E-2"/>
          <c:y val="0.2572178477690289"/>
          <c:w val="0.72284951881014869"/>
          <c:h val="0.65890128317293672"/>
        </c:manualLayout>
      </c:layout>
      <c:lineChart>
        <c:grouping val="standard"/>
        <c:varyColors val="0"/>
        <c:ser>
          <c:idx val="0"/>
          <c:order val="0"/>
          <c:tx>
            <c:strRef>
              <c:f>Sheet1!$H$9:$H$10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Sheet1!$G$11:$G$15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Sheet1!$H$11:$H$15</c:f>
              <c:numCache>
                <c:formatCode>General</c:formatCode>
                <c:ptCount val="4"/>
                <c:pt idx="0">
                  <c:v>52000</c:v>
                </c:pt>
                <c:pt idx="1">
                  <c:v>45000</c:v>
                </c:pt>
                <c:pt idx="2">
                  <c:v>38000</c:v>
                </c:pt>
                <c:pt idx="3">
                  <c:v>41000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33-459D-9948-BFFC47216650}"/>
            </c:ext>
          </c:extLst>
        </c:ser>
        <c:ser>
          <c:idx val="1"/>
          <c:order val="1"/>
          <c:tx>
            <c:strRef>
              <c:f>Sheet1!$I$9:$I$10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Sheet1!$G$11:$G$15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Sheet1!$I$11:$I$15</c:f>
              <c:numCache>
                <c:formatCode>General</c:formatCode>
                <c:ptCount val="4"/>
                <c:pt idx="0">
                  <c:v>49000</c:v>
                </c:pt>
                <c:pt idx="1">
                  <c:v>48000</c:v>
                </c:pt>
                <c:pt idx="2">
                  <c:v>44000</c:v>
                </c:pt>
                <c:pt idx="3">
                  <c:v>43000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33-459D-9948-BFFC47216650}"/>
            </c:ext>
          </c:extLst>
        </c:ser>
        <c:ser>
          <c:idx val="2"/>
          <c:order val="2"/>
          <c:tx>
            <c:strRef>
              <c:f>Sheet1!$J$9:$J$10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Sheet1!$G$11:$G$15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Sheet1!$J$11:$J$15</c:f>
              <c:numCache>
                <c:formatCode>General</c:formatCode>
                <c:ptCount val="4"/>
                <c:pt idx="0">
                  <c:v>55000</c:v>
                </c:pt>
                <c:pt idx="1">
                  <c:v>51000</c:v>
                </c:pt>
                <c:pt idx="2">
                  <c:v>47000</c:v>
                </c:pt>
                <c:pt idx="3">
                  <c:v>46000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33-459D-9948-BFFC47216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2835376"/>
        <c:axId val="1322827696"/>
      </c:lineChart>
      <c:catAx>
        <c:axId val="132283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827696"/>
        <c:crosses val="autoZero"/>
        <c:auto val="1"/>
        <c:lblAlgn val="ctr"/>
        <c:lblOffset val="100"/>
        <c:noMultiLvlLbl val="0"/>
      </c:catAx>
      <c:valAx>
        <c:axId val="132282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83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488949</xdr:colOff>
      <xdr:row>1</xdr:row>
      <xdr:rowOff>276088</xdr:rowOff>
    </xdr:from>
    <xdr:to>
      <xdr:col>19</xdr:col>
      <xdr:colOff>434836</xdr:colOff>
      <xdr:row>16</xdr:row>
      <xdr:rowOff>95251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12604A-0FBC-FAF5-AAD0-FF15C2469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462859</xdr:colOff>
      <xdr:row>24</xdr:row>
      <xdr:rowOff>142186</xdr:rowOff>
    </xdr:from>
    <xdr:to>
      <xdr:col>9</xdr:col>
      <xdr:colOff>24157</xdr:colOff>
      <xdr:row>39</xdr:row>
      <xdr:rowOff>123136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DAF945-4153-064B-4A94-372C00B6B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shaali Kuravi" refreshedDate="46104.78899976852" createdVersion="8" refreshedVersion="8" minRefreshableVersion="3" recordCount="12" xr:uid="{B7C311FB-F3D4-4E54-AD2C-D2664F3979FE}">
  <cacheSource type="worksheet">
    <worksheetSource ref="A4:E16" sheet="Sheet1"/>
  </cacheSource>
  <cacheFields count="5">
    <cacheField name="Region" numFmtId="0">
      <sharedItems count="4">
        <s v="North"/>
        <s v="South"/>
        <s v="East"/>
        <s v="West"/>
      </sharedItems>
    </cacheField>
    <cacheField name="Month" numFmtId="0">
      <sharedItems count="3">
        <s v="Jan"/>
        <s v="Feb"/>
        <s v="Mar"/>
      </sharedItems>
    </cacheField>
    <cacheField name="Revenue" numFmtId="0">
      <sharedItems containsSemiMixedTypes="0" containsString="0" containsNumber="1" containsInteger="1" minValue="38000" maxValue="55000"/>
    </cacheField>
    <cacheField name="Target" numFmtId="0">
      <sharedItems containsSemiMixedTypes="0" containsString="0" containsNumber="1" containsInteger="1" minValue="40000" maxValue="48000"/>
    </cacheField>
    <cacheField name="Variance" numFmtId="0">
      <sharedItems containsSemiMixedTypes="0" containsString="0" containsNumber="1" containsInteger="1" minValue="-4000" maxValue="1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45000"/>
    <n v="40000"/>
    <n v="5000"/>
  </r>
  <r>
    <x v="1"/>
    <x v="0"/>
    <n v="38000"/>
    <n v="42000"/>
    <n v="-4000"/>
  </r>
  <r>
    <x v="2"/>
    <x v="0"/>
    <n v="52000"/>
    <n v="48000"/>
    <n v="4000"/>
  </r>
  <r>
    <x v="3"/>
    <x v="0"/>
    <n v="41000"/>
    <n v="45000"/>
    <n v="-4000"/>
  </r>
  <r>
    <x v="0"/>
    <x v="1"/>
    <n v="48000"/>
    <n v="40000"/>
    <n v="8000"/>
  </r>
  <r>
    <x v="1"/>
    <x v="1"/>
    <n v="44000"/>
    <n v="42000"/>
    <n v="2000"/>
  </r>
  <r>
    <x v="2"/>
    <x v="1"/>
    <n v="49000"/>
    <n v="48000"/>
    <n v="1000"/>
  </r>
  <r>
    <x v="3"/>
    <x v="1"/>
    <n v="43000"/>
    <n v="45000"/>
    <n v="-2000"/>
  </r>
  <r>
    <x v="0"/>
    <x v="2"/>
    <n v="51000"/>
    <n v="40000"/>
    <n v="11000"/>
  </r>
  <r>
    <x v="1"/>
    <x v="2"/>
    <n v="47000"/>
    <n v="42000"/>
    <n v="5000"/>
  </r>
  <r>
    <x v="2"/>
    <x v="2"/>
    <n v="55000"/>
    <n v="48000"/>
    <n v="7000"/>
  </r>
  <r>
    <x v="3"/>
    <x v="2"/>
    <n v="46000"/>
    <n v="45000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32871-48D1-4EB7-8F01-829E33EBAF6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G9:K15" firstHeaderRow="1" firstDataRow="2" firstDataCol="1"/>
  <pivotFields count="5"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Monthly Revenue Trend by Region" fld="2" baseField="0" baseItem="0"/>
  </dataFields>
  <chartFormats count="6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C9FB-3911-4DA3-84E3-D7BF2D5A0073}">
  <dimension ref="A1:K43"/>
  <sheetViews>
    <sheetView tabSelected="1" zoomScale="92" workbookViewId="0">
      <selection activeCell="D18" sqref="D18"/>
    </sheetView>
  </sheetViews>
  <sheetFormatPr defaultRowHeight="14.5" x14ac:dyDescent="0.35"/>
  <cols>
    <col min="7" max="7" width="14.36328125" bestFit="1" customWidth="1"/>
    <col min="8" max="8" width="15.6328125" bestFit="1" customWidth="1"/>
    <col min="9" max="9" width="8.81640625" bestFit="1" customWidth="1"/>
    <col min="10" max="10" width="6.81640625" bestFit="1" customWidth="1"/>
    <col min="11" max="11" width="10.36328125" bestFit="1" customWidth="1"/>
  </cols>
  <sheetData>
    <row r="1" spans="1:11" ht="32" customHeight="1" x14ac:dyDescent="0.55000000000000004">
      <c r="A1" s="9" t="s">
        <v>26</v>
      </c>
      <c r="G1" s="10"/>
    </row>
    <row r="2" spans="1:11" ht="23.5" x14ac:dyDescent="0.4">
      <c r="A2" s="1" t="s">
        <v>12</v>
      </c>
      <c r="H2" s="11" t="s">
        <v>33</v>
      </c>
      <c r="I2" s="11"/>
      <c r="J2" s="11"/>
    </row>
    <row r="3" spans="1:11" ht="18" x14ac:dyDescent="0.4">
      <c r="H3" s="11"/>
      <c r="I3" s="11"/>
      <c r="J3" s="11"/>
    </row>
    <row r="4" spans="1:11" ht="18" x14ac:dyDescent="0.4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H4" s="11" t="s">
        <v>27</v>
      </c>
      <c r="I4" s="11">
        <f>SUM(C5:C16)</f>
        <v>559000</v>
      </c>
      <c r="J4" s="11"/>
    </row>
    <row r="5" spans="1:11" ht="18" x14ac:dyDescent="0.4">
      <c r="A5" s="3" t="s">
        <v>5</v>
      </c>
      <c r="B5" s="3" t="s">
        <v>6</v>
      </c>
      <c r="C5" s="3">
        <v>45000</v>
      </c>
      <c r="D5" s="3">
        <v>40000</v>
      </c>
      <c r="E5" s="3">
        <v>5000</v>
      </c>
      <c r="H5" s="11" t="s">
        <v>28</v>
      </c>
      <c r="I5" s="11" t="s">
        <v>8</v>
      </c>
      <c r="J5" s="11"/>
    </row>
    <row r="6" spans="1:11" ht="18" x14ac:dyDescent="0.4">
      <c r="A6" s="3" t="s">
        <v>7</v>
      </c>
      <c r="B6" s="3" t="s">
        <v>6</v>
      </c>
      <c r="C6" s="3">
        <v>38000</v>
      </c>
      <c r="D6" s="3">
        <v>42000</v>
      </c>
      <c r="E6" s="3">
        <v>-4000</v>
      </c>
      <c r="H6" s="11" t="s">
        <v>29</v>
      </c>
      <c r="I6" s="11" t="s">
        <v>31</v>
      </c>
      <c r="J6" s="11"/>
    </row>
    <row r="7" spans="1:11" ht="18" x14ac:dyDescent="0.4">
      <c r="A7" s="3" t="s">
        <v>8</v>
      </c>
      <c r="B7" s="3" t="s">
        <v>6</v>
      </c>
      <c r="C7" s="3">
        <v>52000</v>
      </c>
      <c r="D7" s="3">
        <v>48000</v>
      </c>
      <c r="E7" s="3">
        <v>4000</v>
      </c>
      <c r="H7" s="11" t="s">
        <v>30</v>
      </c>
      <c r="I7" s="11">
        <f>AVERAGE(C5:C16)</f>
        <v>46583.333333333336</v>
      </c>
      <c r="J7" s="11"/>
    </row>
    <row r="8" spans="1:11" ht="18" x14ac:dyDescent="0.4">
      <c r="A8" s="3" t="s">
        <v>9</v>
      </c>
      <c r="B8" s="3" t="s">
        <v>6</v>
      </c>
      <c r="C8" s="3">
        <v>41000</v>
      </c>
      <c r="D8" s="3">
        <v>45000</v>
      </c>
      <c r="E8" s="3">
        <v>-4000</v>
      </c>
      <c r="H8" s="11" t="s">
        <v>32</v>
      </c>
      <c r="I8" s="11">
        <v>4</v>
      </c>
      <c r="J8" s="11"/>
    </row>
    <row r="9" spans="1:11" x14ac:dyDescent="0.35">
      <c r="A9" s="3" t="s">
        <v>5</v>
      </c>
      <c r="B9" s="3" t="s">
        <v>10</v>
      </c>
      <c r="C9" s="3">
        <v>48000</v>
      </c>
      <c r="D9" s="3">
        <v>40000</v>
      </c>
      <c r="E9" s="3">
        <v>8000</v>
      </c>
      <c r="G9" s="4" t="s">
        <v>16</v>
      </c>
      <c r="H9" s="4" t="s">
        <v>15</v>
      </c>
    </row>
    <row r="10" spans="1:11" x14ac:dyDescent="0.35">
      <c r="A10" s="3" t="s">
        <v>7</v>
      </c>
      <c r="B10" s="3" t="s">
        <v>10</v>
      </c>
      <c r="C10" s="3">
        <v>44000</v>
      </c>
      <c r="D10" s="3">
        <v>42000</v>
      </c>
      <c r="E10" s="3">
        <v>2000</v>
      </c>
      <c r="G10" s="4" t="s">
        <v>13</v>
      </c>
      <c r="H10" t="s">
        <v>6</v>
      </c>
      <c r="I10" t="s">
        <v>10</v>
      </c>
      <c r="J10" t="s">
        <v>11</v>
      </c>
      <c r="K10" t="s">
        <v>14</v>
      </c>
    </row>
    <row r="11" spans="1:11" x14ac:dyDescent="0.35">
      <c r="A11" s="3" t="s">
        <v>8</v>
      </c>
      <c r="B11" s="3" t="s">
        <v>10</v>
      </c>
      <c r="C11" s="3">
        <v>49000</v>
      </c>
      <c r="D11" s="3">
        <v>48000</v>
      </c>
      <c r="E11" s="3">
        <v>1000</v>
      </c>
      <c r="G11" s="5" t="s">
        <v>8</v>
      </c>
      <c r="H11" s="6">
        <v>52000</v>
      </c>
      <c r="I11" s="6">
        <v>49000</v>
      </c>
      <c r="J11" s="6">
        <v>55000</v>
      </c>
      <c r="K11" s="6">
        <v>156000</v>
      </c>
    </row>
    <row r="12" spans="1:11" x14ac:dyDescent="0.35">
      <c r="A12" s="3" t="s">
        <v>9</v>
      </c>
      <c r="B12" s="3" t="s">
        <v>10</v>
      </c>
      <c r="C12" s="3">
        <v>43000</v>
      </c>
      <c r="D12" s="3">
        <v>45000</v>
      </c>
      <c r="E12" s="3">
        <v>-2000</v>
      </c>
      <c r="G12" s="5" t="s">
        <v>5</v>
      </c>
      <c r="H12" s="6">
        <v>45000</v>
      </c>
      <c r="I12" s="6">
        <v>48000</v>
      </c>
      <c r="J12" s="6">
        <v>51000</v>
      </c>
      <c r="K12" s="6">
        <v>144000</v>
      </c>
    </row>
    <row r="13" spans="1:11" x14ac:dyDescent="0.35">
      <c r="A13" s="3" t="s">
        <v>5</v>
      </c>
      <c r="B13" s="3" t="s">
        <v>11</v>
      </c>
      <c r="C13" s="3">
        <v>51000</v>
      </c>
      <c r="D13" s="3">
        <v>40000</v>
      </c>
      <c r="E13" s="3">
        <v>11000</v>
      </c>
      <c r="G13" s="5" t="s">
        <v>7</v>
      </c>
      <c r="H13" s="6">
        <v>38000</v>
      </c>
      <c r="I13" s="6">
        <v>44000</v>
      </c>
      <c r="J13" s="6">
        <v>47000</v>
      </c>
      <c r="K13" s="6">
        <v>129000</v>
      </c>
    </row>
    <row r="14" spans="1:11" x14ac:dyDescent="0.35">
      <c r="A14" s="3" t="s">
        <v>7</v>
      </c>
      <c r="B14" s="3" t="s">
        <v>11</v>
      </c>
      <c r="C14" s="3">
        <v>47000</v>
      </c>
      <c r="D14" s="3">
        <v>42000</v>
      </c>
      <c r="E14" s="3">
        <v>5000</v>
      </c>
      <c r="G14" s="5" t="s">
        <v>9</v>
      </c>
      <c r="H14" s="6">
        <v>41000</v>
      </c>
      <c r="I14" s="6">
        <v>43000</v>
      </c>
      <c r="J14" s="6">
        <v>46000</v>
      </c>
      <c r="K14" s="6">
        <v>130000</v>
      </c>
    </row>
    <row r="15" spans="1:11" x14ac:dyDescent="0.35">
      <c r="A15" s="3" t="s">
        <v>8</v>
      </c>
      <c r="B15" s="3" t="s">
        <v>11</v>
      </c>
      <c r="C15" s="3">
        <v>55000</v>
      </c>
      <c r="D15" s="3">
        <v>48000</v>
      </c>
      <c r="E15" s="3">
        <v>7000</v>
      </c>
      <c r="G15" s="5" t="s">
        <v>14</v>
      </c>
      <c r="H15" s="6">
        <v>176000</v>
      </c>
      <c r="I15" s="6">
        <v>184000</v>
      </c>
      <c r="J15" s="6">
        <v>199000</v>
      </c>
      <c r="K15" s="6">
        <v>559000</v>
      </c>
    </row>
    <row r="16" spans="1:11" x14ac:dyDescent="0.35">
      <c r="A16" s="3" t="s">
        <v>9</v>
      </c>
      <c r="B16" s="3" t="s">
        <v>11</v>
      </c>
      <c r="C16" s="3">
        <v>46000</v>
      </c>
      <c r="D16" s="3">
        <v>45000</v>
      </c>
      <c r="E16" s="3">
        <v>1000</v>
      </c>
    </row>
    <row r="23" spans="2:2" ht="17.5" x14ac:dyDescent="0.35">
      <c r="B23" s="7"/>
    </row>
    <row r="37" spans="2:3" ht="17.5" x14ac:dyDescent="0.35">
      <c r="B37" s="7" t="s">
        <v>17</v>
      </c>
    </row>
    <row r="39" spans="2:3" x14ac:dyDescent="0.35">
      <c r="B39" s="2" t="s">
        <v>18</v>
      </c>
      <c r="C39" s="2" t="s">
        <v>19</v>
      </c>
    </row>
    <row r="40" spans="2:3" ht="43.5" x14ac:dyDescent="0.35">
      <c r="B40" s="3" t="s">
        <v>20</v>
      </c>
      <c r="C40" s="8" t="s">
        <v>21</v>
      </c>
    </row>
    <row r="41" spans="2:3" ht="72.5" x14ac:dyDescent="0.35">
      <c r="B41" s="3" t="s">
        <v>22</v>
      </c>
      <c r="C41" s="8" t="s">
        <v>23</v>
      </c>
    </row>
    <row r="42" spans="2:3" ht="72.5" x14ac:dyDescent="0.35">
      <c r="B42" s="3" t="s">
        <v>22</v>
      </c>
      <c r="C42" s="8" t="s">
        <v>24</v>
      </c>
    </row>
    <row r="43" spans="2:3" ht="58" x14ac:dyDescent="0.35">
      <c r="B43" s="3" t="s">
        <v>22</v>
      </c>
      <c r="C43" s="8" t="s">
        <v>25</v>
      </c>
    </row>
  </sheetData>
  <phoneticPr fontId="4" type="noConversion"/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Laxmi Rushaali Kuravi</cp:lastModifiedBy>
  <dcterms:created xsi:type="dcterms:W3CDTF">2026-03-23T22:52:09Z</dcterms:created>
  <dcterms:modified xsi:type="dcterms:W3CDTF">2026-03-23T23:39:45Z</dcterms:modified>
</cp:coreProperties>
</file>